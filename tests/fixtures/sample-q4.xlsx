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3" name="DASHBOARD" state="visible" r:id="rId4"/>
    <sheet sheetId="1" name="Sheet1" state="visible" r:id="rId5"/>
    <sheet sheetId="2" name="Sheet2" state="visible" r:id="rId6"/>
  </sheets>
  <calcPr calcId="171027"/>
</workbook>
</file>

<file path=xl/sharedStrings.xml><?xml version="1.0" encoding="utf-8"?>
<sst xmlns="http://schemas.openxmlformats.org/spreadsheetml/2006/main" count="120" uniqueCount="52">
  <si>
    <t>PERFORMANCE DASHBOARD</t>
  </si>
  <si>
    <t xml:space="preserve">QUARTER ENDING </t>
  </si>
  <si>
    <t>FOURTH</t>
  </si>
  <si>
    <t>LAST NAME</t>
  </si>
  <si>
    <t>FIRST NAME</t>
  </si>
  <si>
    <t>POSITION</t>
  </si>
  <si>
    <t>AREA</t>
  </si>
  <si>
    <t>OCTOBER</t>
  </si>
  <si>
    <t>NOVEMBER</t>
  </si>
  <si>
    <t>DECEMBER</t>
  </si>
  <si>
    <t>QUARTER TOTAL</t>
  </si>
  <si>
    <t>SALES COLLECTION</t>
  </si>
  <si>
    <t>CALLS</t>
  </si>
  <si>
    <t>IN HOUSE</t>
  </si>
  <si>
    <t>ETHICAL</t>
  </si>
  <si>
    <t>COMBI</t>
  </si>
  <si>
    <t>Ibañez</t>
  </si>
  <si>
    <t>Attainment in %</t>
  </si>
  <si>
    <t>Catch up Amount</t>
  </si>
  <si>
    <t>PERFORMANCE ATTAINMENT PER PSR</t>
  </si>
  <si>
    <t>TARGETS</t>
  </si>
  <si>
    <t>Alcantara</t>
  </si>
  <si>
    <t>Rhea Mae</t>
  </si>
  <si>
    <t>PSR</t>
  </si>
  <si>
    <t>NORTH</t>
  </si>
  <si>
    <t>Bautista</t>
  </si>
  <si>
    <t>Joy</t>
  </si>
  <si>
    <t>SOUTH</t>
  </si>
  <si>
    <t>Cruz</t>
  </si>
  <si>
    <t>Daniel</t>
  </si>
  <si>
    <t>Dela Peña</t>
  </si>
  <si>
    <t>Marco Jose</t>
  </si>
  <si>
    <t>CARAGA</t>
  </si>
  <si>
    <t>Espino</t>
  </si>
  <si>
    <t>Ramil</t>
  </si>
  <si>
    <t>Flores</t>
  </si>
  <si>
    <t>Jessa Ann</t>
  </si>
  <si>
    <t>Arlene</t>
  </si>
  <si>
    <t>Lim</t>
  </si>
  <si>
    <t>Kevin</t>
  </si>
  <si>
    <t>Mendoza</t>
  </si>
  <si>
    <t>Ronald</t>
  </si>
  <si>
    <t>SUPERVISOR</t>
  </si>
  <si>
    <t>Navarro</t>
  </si>
  <si>
    <t>Jessie</t>
  </si>
  <si>
    <t>Ocampo</t>
  </si>
  <si>
    <t>Mary Grace</t>
  </si>
  <si>
    <t>Pascual</t>
  </si>
  <si>
    <t>Ireneo</t>
  </si>
  <si>
    <t>GROUP HEAD</t>
  </si>
  <si>
    <t>N/A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</si>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</sst>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-* #,##0.00_-;_-* &quot;-&quot;??_-;_-@_-"/>
    <numFmt numFmtId="165" formatCode="_-* #,##0_-;-* #,##0_-;_-* &quot;-&quot;??_-;_-@_-"/>
  </numFmts>
  <fonts count="7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4"/>
      <name val="Aptos Narrow"/>
    </font>
    <font>
      <b/>
      <color rgb="FFFF0000"/>
      <family val="2"/>
      <scheme val="minor"/>
      <sz val="12"/>
      <name val="Aptos Narrow"/>
    </font>
    <font>
      <b/>
      <i/>
      <color theme="1"/>
      <family val="2"/>
      <scheme val="minor"/>
      <sz val="11"/>
      <name val="Aptos Narrow"/>
    </font>
    <font>
      <color rgb="FF000000"/>
      <family val="2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0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4" fontId="2" fillId="0" borderId="1" xfId="0" applyNumberFormat="1" applyFont="1" applyBorder="1"/>
    <xf numFmtId="165" fontId="2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workbookViewId="0" zoomScale="100" zoomScaleNormal="100">
      <pane xSplit="2" ySplit="5" topLeftCell="C6" activePane="bottomRight" state="frozen"/>
      <selection pane="bottomRight" activeCell="H22" sqref="H22"/>
    </sheetView>
  </sheetViews>
  <sheetFormatPr defaultRowHeight="14.45" outlineLevelRow="0" outlineLevelCol="0" x14ac:dyDescent="0" customHeight="1"/>
  <cols>
    <col min="1" max="1" width="20.140625" customWidth="1"/>
    <col min="2" max="2" width="23.85546875" customWidth="1"/>
    <col min="3" max="3" width="14.85546875" customWidth="1"/>
    <col min="4" max="4" width="12.28515625" customWidth="1"/>
    <col min="5" max="23" width="13.7109375" customWidth="1"/>
    <col min="24" max="24" width="11" customWidth="1"/>
  </cols>
  <sheetData>
    <row r="1" spans="1:1" x14ac:dyDescent="0.25">
      <c r="A1" s="1" t="s">
        <v>19</v>
      </c>
    </row>
    <row r="2" spans="1:4" x14ac:dyDescent="0.25">
      <c r="A2" s="1" t="s">
        <v>1</v>
      </c>
      <c r="B2" s="2" t="s">
        <v>2</v>
      </c>
      <c r="C2" s="2"/>
      <c r="D2" s="2"/>
    </row>
    <row r="3" ht="18" customHeight="1" spans="1:24" x14ac:dyDescent="0.25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/>
      <c r="G3" s="4"/>
      <c r="H3" s="4"/>
      <c r="I3" s="4" t="s">
        <v>8</v>
      </c>
      <c r="J3" s="4"/>
      <c r="K3" s="4"/>
      <c r="L3" s="4"/>
      <c r="M3" s="4" t="s">
        <v>9</v>
      </c>
      <c r="N3" s="4"/>
      <c r="O3" s="4"/>
      <c r="P3" s="4"/>
      <c r="Q3" s="4" t="s">
        <v>10</v>
      </c>
      <c r="R3" s="4"/>
      <c r="S3" s="4"/>
      <c r="T3" s="4"/>
      <c r="U3" s="4" t="s">
        <v>20</v>
      </c>
      <c r="V3" s="4"/>
      <c r="W3" s="4"/>
      <c r="X3" s="4"/>
    </row>
    <row r="4" ht="18" customHeight="1" spans="1:24" x14ac:dyDescent="0.25">
      <c r="A4" s="3"/>
      <c r="B4" s="3"/>
      <c r="C4" s="3"/>
      <c r="D4" s="3"/>
      <c r="E4" s="5" t="s">
        <v>11</v>
      </c>
      <c r="F4" s="5"/>
      <c r="G4" s="5"/>
      <c r="H4" s="5" t="s">
        <v>12</v>
      </c>
      <c r="I4" s="5" t="s">
        <v>11</v>
      </c>
      <c r="J4" s="5"/>
      <c r="K4" s="5"/>
      <c r="L4" s="5" t="s">
        <v>12</v>
      </c>
      <c r="M4" s="5" t="s">
        <v>11</v>
      </c>
      <c r="N4" s="5"/>
      <c r="O4" s="5"/>
      <c r="P4" s="5" t="s">
        <v>12</v>
      </c>
      <c r="Q4" s="5" t="s">
        <v>11</v>
      </c>
      <c r="R4" s="5"/>
      <c r="S4" s="5"/>
      <c r="T4" s="5" t="s">
        <v>12</v>
      </c>
      <c r="U4" s="5" t="s">
        <v>11</v>
      </c>
      <c r="V4" s="5"/>
      <c r="W4" s="5"/>
      <c r="X4" s="5" t="s">
        <v>12</v>
      </c>
    </row>
    <row r="5" ht="18" customHeight="1" spans="1:24" x14ac:dyDescent="0.25">
      <c r="A5" s="3"/>
      <c r="B5" s="3"/>
      <c r="C5" s="3"/>
      <c r="D5" s="3"/>
      <c r="E5" s="5" t="s">
        <v>13</v>
      </c>
      <c r="F5" s="5" t="s">
        <v>14</v>
      </c>
      <c r="G5" s="5" t="s">
        <v>15</v>
      </c>
      <c r="H5" s="5"/>
      <c r="I5" s="5" t="s">
        <v>13</v>
      </c>
      <c r="J5" s="5" t="s">
        <v>14</v>
      </c>
      <c r="K5" s="5" t="s">
        <v>15</v>
      </c>
      <c r="L5" s="5"/>
      <c r="M5" s="5" t="s">
        <v>13</v>
      </c>
      <c r="N5" s="5" t="s">
        <v>14</v>
      </c>
      <c r="O5" s="5" t="s">
        <v>15</v>
      </c>
      <c r="P5" s="5"/>
      <c r="Q5" s="5" t="s">
        <v>13</v>
      </c>
      <c r="R5" s="5" t="s">
        <v>14</v>
      </c>
      <c r="S5" s="5" t="s">
        <v>15</v>
      </c>
      <c r="T5" s="5"/>
      <c r="U5" s="5" t="s">
        <v>13</v>
      </c>
      <c r="V5" s="5" t="s">
        <v>14</v>
      </c>
      <c r="W5" s="5" t="s">
        <v>15</v>
      </c>
      <c r="X5" s="5"/>
    </row>
    <row r="6" spans="1:24" x14ac:dyDescent="0.25">
      <c r="A6" s="6" t="s">
        <v>21</v>
      </c>
      <c r="B6" s="6" t="s">
        <v>22</v>
      </c>
      <c r="C6" s="7" t="s">
        <v>23</v>
      </c>
      <c r="D6" s="7" t="s">
        <v>24</v>
      </c>
      <c r="E6" s="12">
        <v>0</v>
      </c>
      <c r="F6" s="12">
        <v>0</v>
      </c>
      <c r="G6" s="12">
        <f>E6+F6</f>
        <v>0</v>
      </c>
      <c r="H6" s="6">
        <v>85</v>
      </c>
      <c r="I6" s="12"/>
      <c r="J6" s="12"/>
      <c r="K6" s="12">
        <f>I6+J6</f>
        <v>0</v>
      </c>
      <c r="L6" s="6"/>
      <c r="M6" s="12"/>
      <c r="N6" s="12"/>
      <c r="O6" s="12">
        <f>M6+N6</f>
        <v>0</v>
      </c>
      <c r="P6" s="6"/>
      <c r="Q6" s="12">
        <f>SUM(E6+I6+M6)</f>
        <v>0</v>
      </c>
      <c r="R6" s="12">
        <f>F6+J6+N6</f>
        <v>0</v>
      </c>
      <c r="S6" s="12">
        <f>Q6+R6</f>
        <v>0</v>
      </c>
      <c r="T6" s="6">
        <f>H6+L6+P6</f>
        <v>85</v>
      </c>
      <c r="U6" s="12">
        <v>3000000</v>
      </c>
      <c r="V6" s="12">
        <v>1500000</v>
      </c>
      <c r="W6" s="12">
        <v>4000000</v>
      </c>
      <c r="X6" s="13">
        <v>480</v>
      </c>
    </row>
    <row r="7" spans="1:24" x14ac:dyDescent="0.25">
      <c r="A7" s="6" t="s">
        <v>25</v>
      </c>
      <c r="B7" s="6" t="s">
        <v>26</v>
      </c>
      <c r="C7" s="7" t="s">
        <v>23</v>
      </c>
      <c r="D7" s="7" t="s">
        <v>27</v>
      </c>
      <c r="E7" s="12"/>
      <c r="F7" s="12">
        <v>4981</v>
      </c>
      <c r="G7" s="12">
        <f t="shared" ref="G7:G17" si="0">E7+F7</f>
        <v>4981</v>
      </c>
      <c r="H7" s="6">
        <v>94</v>
      </c>
      <c r="I7" s="12"/>
      <c r="J7" s="12"/>
      <c r="K7" s="12">
        <f t="shared" ref="K7:K17" si="1">I7+J7</f>
        <v>0</v>
      </c>
      <c r="L7" s="6"/>
      <c r="M7" s="12"/>
      <c r="N7" s="12"/>
      <c r="O7" s="12">
        <f t="shared" ref="O7:O17" si="2">M7+N7</f>
        <v>0</v>
      </c>
      <c r="P7" s="6"/>
      <c r="Q7" s="12">
        <f t="shared" ref="Q7:Q17" si="3">SUM(E7+I7+M7)</f>
        <v>0</v>
      </c>
      <c r="R7" s="12">
        <f t="shared" ref="R7:R17" si="4">F7+J7+N7</f>
        <v>4981</v>
      </c>
      <c r="S7" s="12">
        <f t="shared" ref="S7:S17" si="5">Q7+R7</f>
        <v>4981</v>
      </c>
      <c r="T7" s="6">
        <f t="shared" ref="T7:T17" si="6">H7+L7+P7</f>
        <v>94</v>
      </c>
      <c r="U7" s="12">
        <f t="shared" ref="U7:U13" si="7">SUM(U6)</f>
        <v>3000000</v>
      </c>
      <c r="V7" s="12">
        <v>1500000</v>
      </c>
      <c r="W7" s="12">
        <v>4000000</v>
      </c>
      <c r="X7" s="13">
        <v>480</v>
      </c>
    </row>
    <row r="8" spans="1:24" x14ac:dyDescent="0.25">
      <c r="A8" s="6" t="s">
        <v>28</v>
      </c>
      <c r="B8" s="6" t="s">
        <v>29</v>
      </c>
      <c r="C8" s="7" t="s">
        <v>23</v>
      </c>
      <c r="D8" s="7" t="s">
        <v>24</v>
      </c>
      <c r="E8" s="12">
        <v>18928.28</v>
      </c>
      <c r="F8" s="12"/>
      <c r="G8" s="12">
        <f t="shared" si="0"/>
        <v>18928.28</v>
      </c>
      <c r="H8" s="6">
        <v>136</v>
      </c>
      <c r="I8" s="12"/>
      <c r="J8" s="12"/>
      <c r="K8" s="12">
        <f t="shared" si="1"/>
        <v>0</v>
      </c>
      <c r="L8" s="6"/>
      <c r="M8" s="12"/>
      <c r="N8" s="12"/>
      <c r="O8" s="12">
        <f t="shared" si="2"/>
        <v>0</v>
      </c>
      <c r="P8" s="6"/>
      <c r="Q8" s="12">
        <f t="shared" si="3"/>
        <v>18928.28</v>
      </c>
      <c r="R8" s="12">
        <f t="shared" si="4"/>
        <v>0</v>
      </c>
      <c r="S8" s="12">
        <f t="shared" si="5"/>
        <v>18928.28</v>
      </c>
      <c r="T8" s="6">
        <f t="shared" si="6"/>
        <v>136</v>
      </c>
      <c r="U8" s="12">
        <f t="shared" si="7"/>
        <v>3000000</v>
      </c>
      <c r="V8" s="12">
        <v>1500000</v>
      </c>
      <c r="W8" s="12">
        <v>4000000</v>
      </c>
      <c r="X8" s="13">
        <v>480</v>
      </c>
    </row>
    <row r="9" spans="1:24" x14ac:dyDescent="0.25">
      <c r="A9" s="6" t="s">
        <v>30</v>
      </c>
      <c r="B9" s="6" t="s">
        <v>31</v>
      </c>
      <c r="C9" s="7" t="s">
        <v>23</v>
      </c>
      <c r="D9" s="7" t="s">
        <v>32</v>
      </c>
      <c r="E9" s="14"/>
      <c r="F9" s="14">
        <v>65493.19</v>
      </c>
      <c r="G9" s="12">
        <f t="shared" si="0"/>
        <v>65493.19</v>
      </c>
      <c r="H9" s="6">
        <v>89</v>
      </c>
      <c r="I9" s="12"/>
      <c r="J9" s="12"/>
      <c r="K9" s="12">
        <f t="shared" si="1"/>
        <v>0</v>
      </c>
      <c r="L9" s="6"/>
      <c r="M9" s="12"/>
      <c r="N9" s="12"/>
      <c r="O9" s="12">
        <f t="shared" si="2"/>
        <v>0</v>
      </c>
      <c r="P9" s="6"/>
      <c r="Q9" s="12">
        <f t="shared" si="3"/>
        <v>0</v>
      </c>
      <c r="R9" s="12">
        <f t="shared" si="4"/>
        <v>65493.19</v>
      </c>
      <c r="S9" s="12">
        <f t="shared" si="5"/>
        <v>65493.19</v>
      </c>
      <c r="T9" s="6">
        <f t="shared" si="6"/>
        <v>89</v>
      </c>
      <c r="U9" s="12">
        <f t="shared" si="7"/>
        <v>3000000</v>
      </c>
      <c r="V9" s="12">
        <v>1500000</v>
      </c>
      <c r="W9" s="12">
        <v>4000000</v>
      </c>
      <c r="X9" s="13">
        <v>480</v>
      </c>
    </row>
    <row r="10" spans="1:24" x14ac:dyDescent="0.25">
      <c r="A10" s="6" t="s">
        <v>33</v>
      </c>
      <c r="B10" s="6" t="s">
        <v>34</v>
      </c>
      <c r="C10" s="7" t="s">
        <v>23</v>
      </c>
      <c r="D10" s="7" t="s">
        <v>32</v>
      </c>
      <c r="E10" s="12">
        <v>140512.28</v>
      </c>
      <c r="F10" s="12"/>
      <c r="G10" s="12">
        <f t="shared" si="0"/>
        <v>140512.28</v>
      </c>
      <c r="H10" s="6">
        <v>68</v>
      </c>
      <c r="I10" s="12"/>
      <c r="J10" s="12"/>
      <c r="K10" s="12">
        <f t="shared" si="1"/>
        <v>0</v>
      </c>
      <c r="L10" s="6"/>
      <c r="M10" s="12"/>
      <c r="N10" s="12"/>
      <c r="O10" s="12">
        <f t="shared" si="2"/>
        <v>0</v>
      </c>
      <c r="P10" s="6"/>
      <c r="Q10" s="12">
        <f t="shared" si="3"/>
        <v>140512.28</v>
      </c>
      <c r="R10" s="12">
        <f t="shared" si="4"/>
        <v>0</v>
      </c>
      <c r="S10" s="12">
        <f t="shared" si="5"/>
        <v>140512.28</v>
      </c>
      <c r="T10" s="6">
        <f t="shared" si="6"/>
        <v>68</v>
      </c>
      <c r="U10" s="12">
        <f t="shared" si="7"/>
        <v>3000000</v>
      </c>
      <c r="V10" s="12">
        <v>1500000</v>
      </c>
      <c r="W10" s="12">
        <v>4000000</v>
      </c>
      <c r="X10" s="13">
        <v>480</v>
      </c>
    </row>
    <row r="11" spans="1:24" x14ac:dyDescent="0.25">
      <c r="A11" s="6" t="s">
        <v>35</v>
      </c>
      <c r="B11" s="6" t="s">
        <v>36</v>
      </c>
      <c r="C11" s="7" t="s">
        <v>23</v>
      </c>
      <c r="D11" s="7" t="s">
        <v>24</v>
      </c>
      <c r="E11" s="12">
        <v>0</v>
      </c>
      <c r="F11" s="12"/>
      <c r="G11" s="12">
        <f t="shared" si="0"/>
        <v>0</v>
      </c>
      <c r="H11" s="6">
        <v>107</v>
      </c>
      <c r="I11" s="12"/>
      <c r="J11" s="12"/>
      <c r="K11" s="12">
        <f t="shared" si="1"/>
        <v>0</v>
      </c>
      <c r="L11" s="6"/>
      <c r="M11" s="12"/>
      <c r="N11" s="12"/>
      <c r="O11" s="12">
        <f t="shared" si="2"/>
        <v>0</v>
      </c>
      <c r="P11" s="6"/>
      <c r="Q11" s="12">
        <f t="shared" si="3"/>
        <v>0</v>
      </c>
      <c r="R11" s="12">
        <f t="shared" si="4"/>
        <v>0</v>
      </c>
      <c r="S11" s="12">
        <f t="shared" si="5"/>
        <v>0</v>
      </c>
      <c r="T11" s="6">
        <f t="shared" si="6"/>
        <v>107</v>
      </c>
      <c r="U11" s="12">
        <f t="shared" si="7"/>
        <v>3000000</v>
      </c>
      <c r="V11" s="12">
        <v>1500000</v>
      </c>
      <c r="W11" s="12">
        <v>4000000</v>
      </c>
      <c r="X11" s="13">
        <v>480</v>
      </c>
    </row>
    <row r="12" spans="1:24" x14ac:dyDescent="0.25">
      <c r="A12" s="6" t="s">
        <v>16</v>
      </c>
      <c r="B12" s="6" t="s">
        <v>37</v>
      </c>
      <c r="C12" s="7" t="s">
        <v>23</v>
      </c>
      <c r="D12" s="7" t="s">
        <v>24</v>
      </c>
      <c r="E12" s="12"/>
      <c r="F12" s="12">
        <v>10754.11</v>
      </c>
      <c r="G12" s="12">
        <f t="shared" si="0"/>
        <v>10754.11</v>
      </c>
      <c r="H12" s="6">
        <v>56</v>
      </c>
      <c r="I12" s="12"/>
      <c r="J12" s="12"/>
      <c r="K12" s="12">
        <f t="shared" si="1"/>
        <v>0</v>
      </c>
      <c r="L12" s="6"/>
      <c r="M12" s="12"/>
      <c r="N12" s="12"/>
      <c r="O12" s="12">
        <f t="shared" si="2"/>
        <v>0</v>
      </c>
      <c r="P12" s="6"/>
      <c r="Q12" s="12">
        <f t="shared" si="3"/>
        <v>0</v>
      </c>
      <c r="R12" s="12">
        <f t="shared" si="4"/>
        <v>10754.11</v>
      </c>
      <c r="S12" s="12">
        <f t="shared" si="5"/>
        <v>10754.11</v>
      </c>
      <c r="T12" s="6">
        <f t="shared" si="6"/>
        <v>56</v>
      </c>
      <c r="U12" s="12">
        <f t="shared" si="7"/>
        <v>3000000</v>
      </c>
      <c r="V12" s="12">
        <v>1500000</v>
      </c>
      <c r="W12" s="12">
        <v>4000000</v>
      </c>
      <c r="X12" s="13">
        <v>480</v>
      </c>
    </row>
    <row r="13" spans="1:24" x14ac:dyDescent="0.25">
      <c r="A13" s="6" t="s">
        <v>38</v>
      </c>
      <c r="B13" s="6" t="s">
        <v>39</v>
      </c>
      <c r="C13" s="7" t="s">
        <v>23</v>
      </c>
      <c r="D13" s="7" t="s">
        <v>24</v>
      </c>
      <c r="E13" s="12"/>
      <c r="F13" s="12"/>
      <c r="G13" s="12">
        <f t="shared" si="0"/>
        <v>0</v>
      </c>
      <c r="H13" s="6">
        <v>64</v>
      </c>
      <c r="I13" s="12"/>
      <c r="J13" s="12"/>
      <c r="K13" s="12">
        <f t="shared" si="1"/>
        <v>0</v>
      </c>
      <c r="L13" s="6"/>
      <c r="M13" s="12"/>
      <c r="N13" s="12"/>
      <c r="O13" s="12">
        <f t="shared" si="2"/>
        <v>0</v>
      </c>
      <c r="P13" s="6"/>
      <c r="Q13" s="12">
        <f t="shared" si="3"/>
        <v>0</v>
      </c>
      <c r="R13" s="12">
        <f t="shared" si="4"/>
        <v>0</v>
      </c>
      <c r="S13" s="12">
        <f t="shared" si="5"/>
        <v>0</v>
      </c>
      <c r="T13" s="6">
        <f t="shared" si="6"/>
        <v>64</v>
      </c>
      <c r="U13" s="12">
        <f t="shared" si="7"/>
        <v>3000000</v>
      </c>
      <c r="V13" s="12">
        <v>1500000</v>
      </c>
      <c r="W13" s="12">
        <v>4000000</v>
      </c>
      <c r="X13" s="13">
        <v>480</v>
      </c>
    </row>
    <row r="14" spans="1:24" x14ac:dyDescent="0.25">
      <c r="A14" s="6" t="s">
        <v>40</v>
      </c>
      <c r="B14" s="6" t="s">
        <v>41</v>
      </c>
      <c r="C14" s="7" t="s">
        <v>42</v>
      </c>
      <c r="D14" s="7" t="s">
        <v>24</v>
      </c>
      <c r="E14" s="12"/>
      <c r="F14" s="12"/>
      <c r="G14" s="12">
        <f t="shared" si="0"/>
        <v>0</v>
      </c>
      <c r="H14" s="6">
        <v>45</v>
      </c>
      <c r="I14" s="12"/>
      <c r="J14" s="12"/>
      <c r="K14" s="12">
        <f t="shared" si="1"/>
        <v>0</v>
      </c>
      <c r="L14" s="6"/>
      <c r="M14" s="12"/>
      <c r="N14" s="12"/>
      <c r="O14" s="12">
        <f t="shared" si="2"/>
        <v>0</v>
      </c>
      <c r="P14" s="6"/>
      <c r="Q14" s="12">
        <f t="shared" si="3"/>
        <v>0</v>
      </c>
      <c r="R14" s="12">
        <f t="shared" si="4"/>
        <v>0</v>
      </c>
      <c r="S14" s="12">
        <f t="shared" si="5"/>
        <v>0</v>
      </c>
      <c r="T14" s="6">
        <f t="shared" si="6"/>
        <v>45</v>
      </c>
      <c r="U14" s="12"/>
      <c r="V14" s="12"/>
      <c r="W14" s="12"/>
      <c r="X14" s="12"/>
    </row>
    <row r="15" spans="1:24" x14ac:dyDescent="0.25">
      <c r="A15" s="6" t="s">
        <v>43</v>
      </c>
      <c r="B15" s="6" t="s">
        <v>44</v>
      </c>
      <c r="C15" s="7" t="s">
        <v>42</v>
      </c>
      <c r="D15" s="7" t="s">
        <v>27</v>
      </c>
      <c r="E15" s="12"/>
      <c r="F15" s="12">
        <v>4981</v>
      </c>
      <c r="G15" s="12">
        <f t="shared" si="0"/>
        <v>4981</v>
      </c>
      <c r="H15" s="6">
        <v>91</v>
      </c>
      <c r="I15" s="12"/>
      <c r="J15" s="12"/>
      <c r="K15" s="12">
        <f t="shared" si="1"/>
        <v>0</v>
      </c>
      <c r="L15" s="6"/>
      <c r="M15" s="12"/>
      <c r="N15" s="12"/>
      <c r="O15" s="12">
        <f t="shared" si="2"/>
        <v>0</v>
      </c>
      <c r="P15" s="6"/>
      <c r="Q15" s="12">
        <f t="shared" si="3"/>
        <v>0</v>
      </c>
      <c r="R15" s="12">
        <f t="shared" si="4"/>
        <v>4981</v>
      </c>
      <c r="S15" s="12">
        <f t="shared" si="5"/>
        <v>4981</v>
      </c>
      <c r="T15" s="6">
        <f t="shared" si="6"/>
        <v>91</v>
      </c>
      <c r="U15" s="12"/>
      <c r="V15" s="12"/>
      <c r="W15" s="12"/>
      <c r="X15" s="12"/>
    </row>
    <row r="16" spans="1:24" x14ac:dyDescent="0.25">
      <c r="A16" s="6" t="s">
        <v>45</v>
      </c>
      <c r="B16" s="6" t="s">
        <v>46</v>
      </c>
      <c r="C16" s="7" t="s">
        <v>42</v>
      </c>
      <c r="D16" s="7" t="s">
        <v>32</v>
      </c>
      <c r="E16" s="12">
        <v>0</v>
      </c>
      <c r="F16" s="12">
        <v>0</v>
      </c>
      <c r="G16" s="12">
        <f t="shared" si="0"/>
        <v>0</v>
      </c>
      <c r="H16" s="6">
        <v>76</v>
      </c>
      <c r="I16" s="12"/>
      <c r="J16" s="12"/>
      <c r="K16" s="12">
        <f t="shared" si="1"/>
        <v>0</v>
      </c>
      <c r="L16" s="6"/>
      <c r="M16" s="12"/>
      <c r="N16" s="12"/>
      <c r="O16" s="12">
        <f t="shared" si="2"/>
        <v>0</v>
      </c>
      <c r="P16" s="6"/>
      <c r="Q16" s="12">
        <f t="shared" si="3"/>
        <v>0</v>
      </c>
      <c r="R16" s="12">
        <f t="shared" si="4"/>
        <v>0</v>
      </c>
      <c r="S16" s="12">
        <f t="shared" si="5"/>
        <v>0</v>
      </c>
      <c r="T16" s="6">
        <f t="shared" si="6"/>
        <v>76</v>
      </c>
      <c r="U16" s="12"/>
      <c r="V16" s="12"/>
      <c r="W16" s="12"/>
      <c r="X16" s="12"/>
    </row>
    <row r="17" spans="1:24" x14ac:dyDescent="0.25">
      <c r="A17" s="6" t="s">
        <v>47</v>
      </c>
      <c r="B17" s="6" t="s">
        <v>48</v>
      </c>
      <c r="C17" s="7" t="s">
        <v>49</v>
      </c>
      <c r="D17" s="7" t="s">
        <v>50</v>
      </c>
      <c r="E17" s="12"/>
      <c r="F17" s="12"/>
      <c r="G17" s="12">
        <f t="shared" si="0"/>
        <v>0</v>
      </c>
      <c r="H17" s="6"/>
      <c r="I17" s="12"/>
      <c r="J17" s="12"/>
      <c r="K17" s="12">
        <f t="shared" si="1"/>
        <v>0</v>
      </c>
      <c r="L17" s="6"/>
      <c r="M17" s="12"/>
      <c r="N17" s="12"/>
      <c r="O17" s="12">
        <f t="shared" si="2"/>
        <v>0</v>
      </c>
      <c r="P17" s="6"/>
      <c r="Q17" s="12">
        <f t="shared" si="3"/>
        <v>0</v>
      </c>
      <c r="R17" s="12">
        <f t="shared" si="4"/>
        <v>0</v>
      </c>
      <c r="S17" s="12">
        <f t="shared" si="5"/>
        <v>0</v>
      </c>
      <c r="T17" s="6">
        <f t="shared" si="6"/>
        <v>0</v>
      </c>
      <c r="U17" s="12"/>
      <c r="V17" s="12"/>
      <c r="W17" s="12"/>
      <c r="X17" s="12"/>
    </row>
    <row r="18" spans="1:2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2"/>
      <c r="V18" s="12"/>
      <c r="W18" s="12"/>
      <c r="X18" s="12"/>
    </row>
    <row r="19" spans="1:24" x14ac:dyDescent="0.25">
      <c r="A19" s="6" t="s">
        <v>51</v>
      </c>
      <c r="B19" s="6"/>
      <c r="C19" s="6"/>
      <c r="D19" s="6"/>
      <c r="E19" s="12">
        <f>SUM(E6:E17)</f>
        <v>159440.56</v>
      </c>
      <c r="F19" s="12">
        <f>SUM(F6:F17)</f>
        <v>86209.3</v>
      </c>
      <c r="G19" s="12">
        <f>SUM(G6:G17)</f>
        <v>245649.86</v>
      </c>
      <c r="H19" s="12">
        <f>SUM(H6:H17)</f>
        <v>911</v>
      </c>
      <c r="I19" s="12">
        <f>SUM(I6:I17)</f>
        <v>0</v>
      </c>
      <c r="J19" s="12">
        <f>SUM(J6:J17)</f>
        <v>0</v>
      </c>
      <c r="K19" s="12">
        <f>SUM(K6:K17)</f>
        <v>0</v>
      </c>
      <c r="L19" s="12">
        <f>SUM(L6:L17)</f>
        <v>0</v>
      </c>
      <c r="M19" s="12">
        <f>SUM(M6:M17)</f>
        <v>0</v>
      </c>
      <c r="N19" s="12">
        <f>SUM(N6:N17)</f>
        <v>0</v>
      </c>
      <c r="O19" s="12">
        <f>SUM(O6:O17)</f>
        <v>0</v>
      </c>
      <c r="P19" s="12">
        <f>SUM(P6:P17)</f>
        <v>0</v>
      </c>
      <c r="Q19" s="12">
        <f>SUM(Q6:Q17)</f>
        <v>159440.56</v>
      </c>
      <c r="R19" s="12">
        <f>SUM(R6:R17)</f>
        <v>86209.3</v>
      </c>
      <c r="S19" s="12">
        <f>SUM(S6:S17)</f>
        <v>245649.86</v>
      </c>
      <c r="T19" s="12">
        <f>SUM(T6:T17)</f>
        <v>911</v>
      </c>
      <c r="U19" s="12">
        <f>SUM(U6:U17)</f>
        <v>24000000</v>
      </c>
      <c r="V19" s="12">
        <f>SUM(V6:V17)</f>
        <v>12000000</v>
      </c>
      <c r="W19" s="12">
        <f>SUM(W6:W17)</f>
        <v>32000000</v>
      </c>
      <c r="X19" s="15">
        <f>SUM(X6:X17)</f>
        <v>3840</v>
      </c>
    </row>
    <row r="20" spans="21:24" x14ac:dyDescent="0.25">
      <c r="U20" s="10"/>
      <c r="V20" s="10"/>
      <c r="W20" s="10"/>
      <c r="X20" s="10"/>
    </row>
    <row r="21" spans="21:24" x14ac:dyDescent="0.25">
      <c r="U21" s="10"/>
      <c r="V21" s="10"/>
      <c r="W21" s="10"/>
      <c r="X21" s="10"/>
    </row>
    <row r="22" spans="21:24" x14ac:dyDescent="0.25">
      <c r="U22" s="10"/>
      <c r="V22" s="10"/>
      <c r="W22" s="10"/>
      <c r="X22" s="10"/>
    </row>
    <row r="23" spans="21:24" x14ac:dyDescent="0.25">
      <c r="U23" s="10"/>
      <c r="V23" s="10"/>
      <c r="W23" s="10"/>
      <c r="X23" s="10"/>
    </row>
    <row r="24" spans="21:24" x14ac:dyDescent="0.25">
      <c r="U24" s="10"/>
      <c r="V24" s="10"/>
      <c r="W24" s="10"/>
      <c r="X24" s="10"/>
    </row>
    <row r="25" spans="21:24" x14ac:dyDescent="0.25">
      <c r="U25" s="10"/>
      <c r="V25" s="10"/>
      <c r="W25" s="10"/>
      <c r="X25" s="10"/>
    </row>
    <row r="26" spans="21:24" x14ac:dyDescent="0.25">
      <c r="U26" s="10"/>
      <c r="V26" s="10"/>
      <c r="W26" s="10"/>
      <c r="X26" s="10"/>
    </row>
    <row r="27" spans="21:24" x14ac:dyDescent="0.25">
      <c r="U27" s="10"/>
      <c r="V27" s="10"/>
      <c r="W27" s="10"/>
      <c r="X27" s="10"/>
    </row>
    <row r="28" spans="21:24" x14ac:dyDescent="0.25">
      <c r="U28" s="10"/>
      <c r="V28" s="10"/>
      <c r="W28" s="10"/>
      <c r="X28" s="10"/>
    </row>
    <row r="29" spans="21:24" x14ac:dyDescent="0.25">
      <c r="U29" s="10"/>
      <c r="V29" s="10"/>
      <c r="W29" s="10"/>
      <c r="X29" s="10"/>
    </row>
    <row r="30" spans="21:24" x14ac:dyDescent="0.25">
      <c r="U30" s="10"/>
      <c r="V30" s="10"/>
      <c r="W30" s="10"/>
      <c r="X30" s="10"/>
    </row>
    <row r="31" spans="21:24" x14ac:dyDescent="0.25">
      <c r="U31" s="10"/>
      <c r="V31" s="10"/>
      <c r="W31" s="10"/>
      <c r="X31" s="10"/>
    </row>
    <row r="32" spans="21:24" x14ac:dyDescent="0.25">
      <c r="U32" s="10"/>
      <c r="V32" s="10"/>
      <c r="W32" s="10"/>
      <c r="X32" s="10"/>
    </row>
    <row r="33" spans="21:24" x14ac:dyDescent="0.25">
      <c r="U33" s="10"/>
      <c r="V33" s="10"/>
      <c r="W33" s="10"/>
      <c r="X33" s="10"/>
    </row>
  </sheetData>
  <mergeCells count="19">
    <mergeCell ref="E3:H3"/>
    <mergeCell ref="I3:L3"/>
    <mergeCell ref="M3:P3"/>
    <mergeCell ref="Q3:T3"/>
    <mergeCell ref="U3:X3"/>
    <mergeCell ref="A3:A5"/>
    <mergeCell ref="B3:B5"/>
    <mergeCell ref="C3:C5"/>
    <mergeCell ref="D3:D5"/>
    <mergeCell ref="E4:G4"/>
    <mergeCell ref="I4:K4"/>
    <mergeCell ref="M4:O4"/>
    <mergeCell ref="Q4:S4"/>
    <mergeCell ref="U4:W4"/>
    <mergeCell ref="H4:H5"/>
    <mergeCell ref="L4:L5"/>
    <mergeCell ref="P4:P5"/>
    <mergeCell ref="T4:T5"/>
    <mergeCell ref="X4:X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5" outlineLevelRow="0" outlineLevelCol="0" x14ac:dyDescent="0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Views>
    <sheetView workbookViewId="0" zoomScale="100" zoomScaleNormal="100">
      <pane xSplit="2" ySplit="5" topLeftCell="Q6" activePane="bottomRight" state="frozen"/>
      <selection pane="bottomRight" activeCell="Q3" sqref="Q3"/>
    </sheetView>
  </sheetViews>
  <sheetFormatPr defaultRowHeight="14.45" outlineLevelRow="0" outlineLevelCol="0" x14ac:dyDescent="0" customHeight="1"/>
  <cols>
    <col min="1" max="2" width="17.7109375" customWidth="1"/>
    <col min="3" max="3" width="15.28515625" customWidth="1"/>
    <col min="4" max="4" width="12.28515625" customWidth="1"/>
    <col min="5" max="19" width="13.7109375" customWidth="1"/>
    <col min="20" max="20" width="35.7109375" customWidth="1"/>
  </cols>
  <sheetData>
    <row r="1" spans="1:1" x14ac:dyDescent="0.25">
      <c r="A1" s="1" t="s">
        <v>0</v>
      </c>
    </row>
    <row r="2" spans="1:4" x14ac:dyDescent="0.25">
      <c r="A2" s="1" t="s">
        <v>1</v>
      </c>
      <c r="B2" s="2" t="s">
        <v>2</v>
      </c>
      <c r="C2" s="2"/>
      <c r="D2" s="2"/>
    </row>
    <row r="3" ht="18" customHeight="1" spans="1:20" x14ac:dyDescent="0.25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/>
      <c r="G3" s="4"/>
      <c r="H3" s="4"/>
      <c r="I3" s="4" t="s">
        <v>8</v>
      </c>
      <c r="J3" s="4"/>
      <c r="K3" s="4"/>
      <c r="L3" s="4"/>
      <c r="M3" s="4" t="s">
        <v>9</v>
      </c>
      <c r="N3" s="4"/>
      <c r="O3" s="4"/>
      <c r="P3" s="4"/>
      <c r="Q3" s="4" t="s">
        <v>10</v>
      </c>
      <c r="R3" s="4"/>
      <c r="S3" s="4"/>
      <c r="T3" s="4"/>
    </row>
    <row r="4" ht="18" customHeight="1" spans="1:20" x14ac:dyDescent="0.25">
      <c r="A4" s="3"/>
      <c r="B4" s="3"/>
      <c r="C4" s="3"/>
      <c r="D4" s="3"/>
      <c r="E4" s="5" t="s">
        <v>11</v>
      </c>
      <c r="F4" s="5"/>
      <c r="G4" s="5"/>
      <c r="H4" s="5" t="s">
        <v>12</v>
      </c>
      <c r="I4" s="5" t="s">
        <v>11</v>
      </c>
      <c r="J4" s="5"/>
      <c r="K4" s="5"/>
      <c r="L4" s="5" t="s">
        <v>12</v>
      </c>
      <c r="M4" s="5" t="s">
        <v>11</v>
      </c>
      <c r="N4" s="5"/>
      <c r="O4" s="5"/>
      <c r="P4" s="5" t="s">
        <v>12</v>
      </c>
      <c r="Q4" s="5" t="s">
        <v>11</v>
      </c>
      <c r="R4" s="5"/>
      <c r="S4" s="5"/>
      <c r="T4" s="5" t="s">
        <v>12</v>
      </c>
    </row>
    <row r="5" ht="18" customHeight="1" spans="1:20" x14ac:dyDescent="0.25">
      <c r="A5" s="3"/>
      <c r="B5" s="3"/>
      <c r="C5" s="3"/>
      <c r="D5" s="3"/>
      <c r="E5" s="5" t="s">
        <v>13</v>
      </c>
      <c r="F5" s="5" t="s">
        <v>14</v>
      </c>
      <c r="G5" s="5" t="s">
        <v>15</v>
      </c>
      <c r="H5" s="5"/>
      <c r="I5" s="5" t="s">
        <v>13</v>
      </c>
      <c r="J5" s="5" t="s">
        <v>14</v>
      </c>
      <c r="K5" s="5" t="s">
        <v>15</v>
      </c>
      <c r="L5" s="5"/>
      <c r="M5" s="5" t="s">
        <v>13</v>
      </c>
      <c r="N5" s="5" t="s">
        <v>14</v>
      </c>
      <c r="O5" s="5" t="s">
        <v>15</v>
      </c>
      <c r="P5" s="5"/>
      <c r="Q5" s="5" t="s">
        <v>13</v>
      </c>
      <c r="R5" s="5" t="s">
        <v>14</v>
      </c>
      <c r="S5" s="5" t="s">
        <v>15</v>
      </c>
      <c r="T5" s="5"/>
    </row>
    <row r="6" spans="1:20" x14ac:dyDescent="0.25">
      <c r="A6" s="6" t="s">
        <v>16</v>
      </c>
      <c r="B6" s="6" t="str">
        <f>LOOKUP(A6,Sheet1!A6:A13,Sheet1!B6:B13)</f>
        <v>Arlene</v>
      </c>
      <c r="C6" s="7" t="str">
        <f>LOOKUP(A6,Sheet1!A6:A13,Sheet1!C6:C13)</f>
        <v>PSR</v>
      </c>
      <c r="D6" s="7" t="str">
        <f>LOOKUP($A$6,Sheet1!$A$6:$A$13,Sheet1!D6:D13)</f>
        <v>NORTH</v>
      </c>
      <c r="E6" s="8">
        <f>LOOKUP($A$6,Sheet1!$A$6:$A$13,Sheet1!E6:E13)</f>
        <v>0</v>
      </c>
      <c r="F6" s="8">
        <f>LOOKUP($A$6,Sheet1!$A$6:$A$13,Sheet1!F6:F13)</f>
        <v>10754.11</v>
      </c>
      <c r="G6" s="8">
        <f>LOOKUP($A$6,Sheet1!$A$6:$A$13,Sheet1!G6:G13)</f>
        <v>10754.11</v>
      </c>
      <c r="H6" s="8">
        <f>LOOKUP($A$6,Sheet1!$A$6:$A$13,Sheet1!H6:H13)</f>
        <v>56</v>
      </c>
      <c r="I6" s="8">
        <f>LOOKUP($A$6,Sheet1!$A$6:$A$13,Sheet1!I6:I13)</f>
        <v>0</v>
      </c>
      <c r="J6" s="8">
        <f>LOOKUP($A$6,Sheet1!$A$6:$A$13,Sheet1!J6:J13)</f>
        <v>0</v>
      </c>
      <c r="K6" s="8">
        <f>LOOKUP($A$6,Sheet1!$A$6:$A$13,Sheet1!K6:K13)</f>
        <v>0</v>
      </c>
      <c r="L6" s="8">
        <f>LOOKUP($A$6,Sheet1!$A$6:$A$13,Sheet1!L6:L13)</f>
        <v>0</v>
      </c>
      <c r="M6" s="8">
        <f>LOOKUP($A$6,Sheet1!$A$6:$A$13,Sheet1!M6:M13)</f>
        <v>0</v>
      </c>
      <c r="N6" s="8">
        <f>LOOKUP($A$6,Sheet1!$A$6:$A$13,Sheet1!N6:N13)</f>
        <v>0</v>
      </c>
      <c r="O6" s="8">
        <f>LOOKUP($A$6,Sheet1!$A$6:$A$13,Sheet1!O6:O13)</f>
        <v>0</v>
      </c>
      <c r="P6" s="8">
        <f>LOOKUP($A$6,Sheet1!$A$6:$A$13,Sheet1!P6:P13)</f>
        <v>0</v>
      </c>
      <c r="Q6" s="8">
        <f>LOOKUP($A$6,Sheet1!$A$6:$A$13,Sheet1!Q6:Q13)</f>
        <v>0</v>
      </c>
      <c r="R6" s="8">
        <f>LOOKUP($A$6,Sheet1!$A$6:$A$13,Sheet1!R6:R13)</f>
        <v>10754.11</v>
      </c>
      <c r="S6" s="8">
        <f>LOOKUP($A$6,Sheet1!$A$6:$A$13,Sheet1!S6:S13)</f>
        <v>10754.11</v>
      </c>
      <c r="T6" s="8">
        <f>LOOKUP($A$6,Sheet1!$A$6:$A$13,Sheet1!T6:T13)</f>
        <v>56</v>
      </c>
    </row>
    <row r="7" spans="1:20" x14ac:dyDescent="0.25">
      <c r="A7" t="s">
        <v>17</v>
      </c>
      <c r="D7" s="2"/>
      <c r="E7" s="9">
        <f>E6/(Sheet1!$U$6/3)</f>
        <v>0</v>
      </c>
      <c r="F7" s="9">
        <f>F6/(Sheet1!$V$6/3)</f>
        <v>0.02150822</v>
      </c>
      <c r="G7" s="9">
        <f>(F6/350000)*(E6/983333.33)</f>
        <v>0</v>
      </c>
      <c r="H7" s="9">
        <f>H6/160</f>
        <v>0.35</v>
      </c>
      <c r="I7" s="9">
        <f>I6/(Sheet1!$U$6/3)</f>
        <v>0</v>
      </c>
      <c r="J7" s="9">
        <f>J6/(Sheet1!$V$6/3)</f>
        <v>0</v>
      </c>
      <c r="K7" s="9">
        <f>(J6/350000)*(I6/983333.33)</f>
        <v>0</v>
      </c>
      <c r="L7" s="9">
        <f>L6/160</f>
        <v>0</v>
      </c>
      <c r="M7" s="9">
        <f>M6/(Sheet1!$U$6/3)</f>
        <v>0</v>
      </c>
      <c r="N7" s="9">
        <f>N6/(Sheet1!$V$6/3)</f>
        <v>0</v>
      </c>
      <c r="O7" s="9">
        <f>(N6/350000)*(M6/983333.33)</f>
        <v>0</v>
      </c>
      <c r="P7" s="9">
        <f>P6/160</f>
        <v>0</v>
      </c>
      <c r="Q7" s="9">
        <f>Q6/(Sheet1!$U$6)</f>
        <v>0</v>
      </c>
      <c r="R7" s="9">
        <f>R6/(Sheet1!$V$6)</f>
        <v>0.007169406666666667</v>
      </c>
      <c r="S7" s="9">
        <f>(R6/1050000)*(Q6/2950000)</f>
        <v>0</v>
      </c>
      <c r="T7" s="9">
        <f>T6/160</f>
        <v>0.35</v>
      </c>
    </row>
    <row r="8" spans="1:20" x14ac:dyDescent="0.25">
      <c r="A8" t="s">
        <v>18</v>
      </c>
      <c r="D8" s="2"/>
      <c r="E8" s="10">
        <f>(Sheet1!$U$6/3)-E6</f>
        <v>1000000</v>
      </c>
      <c r="F8" s="10">
        <f>(Sheet1!$V$6/3)-DASHBOARD!F6</f>
        <v>489245.89</v>
      </c>
      <c r="G8" s="10">
        <f>(350000-F6)+(983333.33-E6)</f>
        <v>1322579.22</v>
      </c>
      <c r="H8" s="11">
        <f>160-H6</f>
        <v>104</v>
      </c>
      <c r="I8" s="10">
        <f>((Sheet1!$U$6/3)-I6)+E8</f>
        <v>2000000</v>
      </c>
      <c r="J8" s="10">
        <f>((Sheet1!$V$6/3)-DASHBOARD!J6)+F8</f>
        <v>989245.89</v>
      </c>
      <c r="K8" s="10">
        <f>((350000-J6)+(983333.33-I6))+G8</f>
        <v>2655912.55</v>
      </c>
      <c r="L8" s="10">
        <f>160-L6+H8</f>
        <v>264</v>
      </c>
      <c r="M8" s="10">
        <f>((Sheet1!$U$6/3)-M6)+I8</f>
        <v>3000000</v>
      </c>
      <c r="N8" s="10">
        <f>((Sheet1!$V$6/3)-DASHBOARD!N6)+J8</f>
        <v>1489245.8900000001</v>
      </c>
      <c r="O8" s="10">
        <f>((350000-N6)+(983333.33-M6))+K8</f>
        <v>3989245.88</v>
      </c>
      <c r="P8">
        <f>160-P6+L8</f>
        <v>424</v>
      </c>
      <c r="Q8" s="10">
        <f>Sheet1!$U$6-Q6</f>
        <v>3000000</v>
      </c>
      <c r="R8" s="10">
        <f>(Sheet1!$V$6)-DASHBOARD!R6</f>
        <v>1489245.89</v>
      </c>
      <c r="S8" s="10">
        <f>(1050000-R6)+(2950000-Q6)</f>
        <v>3989245.89</v>
      </c>
      <c r="T8" s="11">
        <f>480-T6</f>
        <v>424</v>
      </c>
    </row>
    <row r="9" spans="4:19" x14ac:dyDescent="0.25">
      <c r="D9" s="2"/>
      <c r="E9" s="10"/>
      <c r="F9" s="10"/>
      <c r="G9" s="10"/>
      <c r="I9" s="10"/>
      <c r="J9" s="10"/>
      <c r="K9" s="10"/>
      <c r="M9" s="10"/>
      <c r="N9" s="10"/>
      <c r="O9" s="10"/>
      <c r="Q9" s="10"/>
      <c r="R9" s="10"/>
      <c r="S9" s="10"/>
    </row>
    <row r="10" spans="4:19" x14ac:dyDescent="0.25">
      <c r="D10" s="2"/>
      <c r="E10" s="10"/>
      <c r="F10" s="10"/>
      <c r="G10" s="10"/>
      <c r="I10" s="10"/>
      <c r="J10" s="10"/>
      <c r="K10" s="10"/>
      <c r="M10" s="10"/>
      <c r="N10" s="10"/>
      <c r="O10" s="10"/>
      <c r="Q10" s="10"/>
      <c r="R10" s="10"/>
      <c r="S10" s="10"/>
    </row>
    <row r="11" spans="4:19" x14ac:dyDescent="0.25">
      <c r="D11" s="2"/>
      <c r="E11" s="10"/>
      <c r="F11" s="10"/>
      <c r="G11" s="10"/>
      <c r="I11" s="10"/>
      <c r="J11" s="10"/>
      <c r="K11" s="10"/>
      <c r="M11" s="10"/>
      <c r="N11" s="10"/>
      <c r="O11" s="10"/>
      <c r="Q11" s="10"/>
      <c r="R11" s="10"/>
      <c r="S11" s="10"/>
    </row>
    <row r="12" spans="4:19" x14ac:dyDescent="0.25">
      <c r="D12" s="2"/>
      <c r="E12" s="10"/>
      <c r="F12" s="10"/>
      <c r="G12" s="10"/>
      <c r="I12" s="10"/>
      <c r="J12" s="10"/>
      <c r="K12" s="10"/>
      <c r="M12" s="10"/>
      <c r="N12" s="10"/>
      <c r="O12" s="10"/>
      <c r="Q12" s="10"/>
      <c r="R12" s="10"/>
      <c r="S12" s="10"/>
    </row>
    <row r="13" spans="4:19" x14ac:dyDescent="0.25">
      <c r="D13" s="2"/>
      <c r="E13" s="10"/>
      <c r="F13" s="10"/>
      <c r="G13" s="10"/>
      <c r="I13" s="10"/>
      <c r="J13" s="10"/>
      <c r="K13" s="10"/>
      <c r="M13" s="10"/>
      <c r="N13" s="10"/>
      <c r="O13" s="10"/>
      <c r="Q13" s="10"/>
      <c r="R13" s="10"/>
      <c r="S13" s="10"/>
    </row>
    <row r="14" spans="4:19" x14ac:dyDescent="0.25">
      <c r="D14" s="2"/>
      <c r="E14" s="10"/>
      <c r="F14" s="10"/>
      <c r="G14" s="10"/>
      <c r="I14" s="10"/>
      <c r="J14" s="10"/>
      <c r="K14" s="10"/>
      <c r="M14" s="10"/>
      <c r="N14" s="10"/>
      <c r="O14" s="10"/>
      <c r="Q14" s="10"/>
      <c r="R14" s="10"/>
      <c r="S14" s="10"/>
    </row>
    <row r="15" spans="4:19" x14ac:dyDescent="0.25">
      <c r="D15" s="2"/>
      <c r="E15" s="10"/>
      <c r="F15" s="10"/>
      <c r="G15" s="10"/>
      <c r="I15" s="10"/>
      <c r="J15" s="10"/>
      <c r="K15" s="10"/>
      <c r="M15" s="10"/>
      <c r="N15" s="10"/>
      <c r="O15" s="10"/>
      <c r="Q15" s="10"/>
      <c r="R15" s="10"/>
      <c r="S15" s="10"/>
    </row>
    <row r="16" spans="4:19" x14ac:dyDescent="0.25">
      <c r="D16" s="2"/>
      <c r="E16" s="10"/>
      <c r="F16" s="10"/>
      <c r="G16" s="10"/>
      <c r="I16" s="10"/>
      <c r="J16" s="10"/>
      <c r="K16" s="10"/>
      <c r="M16" s="10"/>
      <c r="N16" s="10"/>
      <c r="O16" s="10"/>
      <c r="Q16" s="10"/>
      <c r="R16" s="10"/>
      <c r="S16" s="10"/>
    </row>
    <row r="18" spans="5:20" x14ac:dyDescent="0.25"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</sheetData>
  <mergeCells count="16">
    <mergeCell ref="E3:H3"/>
    <mergeCell ref="I3:L3"/>
    <mergeCell ref="M3:P3"/>
    <mergeCell ref="Q3:T3"/>
    <mergeCell ref="A3:A5"/>
    <mergeCell ref="B3:B5"/>
    <mergeCell ref="C3:C5"/>
    <mergeCell ref="D3:D5"/>
    <mergeCell ref="E4:G4"/>
    <mergeCell ref="I4:K4"/>
    <mergeCell ref="M4:O4"/>
    <mergeCell ref="Q4:S4"/>
    <mergeCell ref="H4:H5"/>
    <mergeCell ref="L4:L5"/>
    <mergeCell ref="P4:P5"/>
    <mergeCell ref="T4:T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Cockpit</dc:creator>
  <dc:title>Sample performance workbook (anonymized)</dc:title>
  <dc:subject/>
  <dc:description/>
  <cp:keywords/>
  <cp:category/>
  <cp:lastModifiedBy>Sales Cockpit</cp:lastModifiedBy>
  <cp:contentStatus/>
  <dcterms:created xsi:type="dcterms:W3CDTF">2026-10-19T12:09:03Z</dcterms:created>
  <dcterms:modified xsi:type="dcterms:W3CDTF">2026-10-20T03:17:29Z</dcterms:modified>
</cp:coreProperties>
</file>